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6f92803327c9ad0/Documents/EGR 304/jsilber27_EGR304_F26.github.io-1/docs/05-Power-Budget/"/>
    </mc:Choice>
  </mc:AlternateContent>
  <xr:revisionPtr revIDLastSave="13" documentId="11_0454703C4A55ECA9EDEB81173C2076994B823C75" xr6:coauthVersionLast="47" xr6:coauthVersionMax="47" xr10:uidLastSave="{876A6AB5-8ECC-43B4-BAE3-D2371E6192F0}"/>
  <bookViews>
    <workbookView xWindow="5124" yWindow="1956" windowWidth="16356" windowHeight="132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22" i="1" s="1"/>
  <c r="I25" i="1" s="1"/>
  <c r="I35" i="1"/>
</calcChain>
</file>

<file path=xl/sharedStrings.xml><?xml version="1.0" encoding="utf-8"?>
<sst xmlns="http://schemas.openxmlformats.org/spreadsheetml/2006/main" count="77" uniqueCount="41">
  <si>
    <t>Power Budget</t>
  </si>
  <si>
    <r>
      <rPr>
        <sz val="10"/>
        <color theme="1"/>
        <rFont val="Arial"/>
      </rPr>
      <t xml:space="preserve">Team Number: </t>
    </r>
    <r>
      <rPr>
        <b/>
        <sz val="10"/>
        <color theme="1"/>
        <rFont val="Arial"/>
      </rPr>
      <t>205</t>
    </r>
  </si>
  <si>
    <r>
      <rPr>
        <sz val="10"/>
        <color theme="1"/>
        <rFont val="Arial"/>
      </rPr>
      <t xml:space="preserve">Project Name: </t>
    </r>
    <r>
      <rPr>
        <b/>
        <sz val="10"/>
        <color theme="1"/>
        <rFont val="Arial"/>
      </rPr>
      <t>BAMF</t>
    </r>
  </si>
  <si>
    <r>
      <rPr>
        <sz val="10"/>
        <color theme="1"/>
        <rFont val="Arial"/>
      </rPr>
      <t xml:space="preserve">Team Member Name: </t>
    </r>
    <r>
      <rPr>
        <b/>
        <sz val="10"/>
        <color theme="1"/>
        <rFont val="Arial"/>
      </rPr>
      <t>Jacob Silber</t>
    </r>
  </si>
  <si>
    <t>All Major Components</t>
  </si>
  <si>
    <t>Component Name</t>
  </si>
  <si>
    <t>Part Number</t>
  </si>
  <si>
    <t>Supply Voltage Range</t>
  </si>
  <si>
    <t>Qty</t>
  </si>
  <si>
    <t>Absolute Maximum Current</t>
  </si>
  <si>
    <t>Total Current</t>
  </si>
  <si>
    <t>Unit</t>
  </si>
  <si>
    <t>Photoresistor</t>
  </si>
  <si>
    <t>PDV-P8103</t>
  </si>
  <si>
    <t>0-150V</t>
  </si>
  <si>
    <t>mA</t>
  </si>
  <si>
    <t>Op Amp</t>
  </si>
  <si>
    <t>MCP6004-I/P</t>
  </si>
  <si>
    <t>1.8-6V</t>
  </si>
  <si>
    <t>Curiosity Nano</t>
  </si>
  <si>
    <t>PIC18F57Q43</t>
  </si>
  <si>
    <t>1.8-5.5V</t>
  </si>
  <si>
    <t>5V Power Rail</t>
  </si>
  <si>
    <t>Subtotal</t>
  </si>
  <si>
    <t>Safety Margin</t>
  </si>
  <si>
    <t>Total Current Required on 5V rail</t>
  </si>
  <si>
    <t>Regulator</t>
  </si>
  <si>
    <t>5V Regulator</t>
  </si>
  <si>
    <t>L7805ABV-DG</t>
  </si>
  <si>
    <t>0-35V</t>
  </si>
  <si>
    <t>Total Remaining Current on 5V rail</t>
  </si>
  <si>
    <t>External Power Source 1</t>
  </si>
  <si>
    <t>Output Voltage</t>
  </si>
  <si>
    <t>Absolute Current Maximum</t>
  </si>
  <si>
    <t>Power Source 1 Selection</t>
  </si>
  <si>
    <t>Plug-in Wall Supply</t>
  </si>
  <si>
    <t>YS39-2402500-D1J</t>
  </si>
  <si>
    <t>85-265VAC</t>
  </si>
  <si>
    <t>Power rails connected to External Power Source 1</t>
  </si>
  <si>
    <t>5V</t>
  </si>
  <si>
    <t>Total Remaining Current Available on External Power Source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</si>
</sst>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2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4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/>
    <xf numFmtId="0" fontId="3" fillId="3" borderId="4" xfId="0" applyFont="1" applyFill="1" applyBorder="1" applyAlignment="1">
      <alignment vertical="center"/>
    </xf>
    <xf numFmtId="0" fontId="4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right" wrapText="1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/>
    <xf numFmtId="0" fontId="4" fillId="0" borderId="1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3" fillId="0" borderId="5" xfId="0" applyFont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3" fillId="0" borderId="8" xfId="0" applyFont="1" applyBorder="1"/>
    <xf numFmtId="0" fontId="2" fillId="0" borderId="8" xfId="0" applyFont="1" applyBorder="1"/>
    <xf numFmtId="0" fontId="0" fillId="0" borderId="0" xfId="0"/>
    <xf numFmtId="0" fontId="3" fillId="0" borderId="0" xfId="0" applyFont="1"/>
    <xf numFmtId="0" fontId="2" fillId="0" borderId="9" xfId="0" applyFont="1" applyBorder="1"/>
    <xf numFmtId="0" fontId="3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4:L35"/>
  <sheetViews>
    <sheetView tabSelected="1" topLeftCell="A10" workbookViewId="0">
      <selection activeCell="J46" sqref="J46"/>
    </sheetView>
  </sheetViews>
  <sheetFormatPr defaultColWidth="12.6640625" defaultRowHeight="15.75" customHeight="1" x14ac:dyDescent="0.25"/>
  <cols>
    <col min="8" max="8" width="19.109375" customWidth="1"/>
  </cols>
  <sheetData>
    <row r="4" spans="3:12" ht="24.6" x14ac:dyDescent="0.4">
      <c r="C4" s="31" t="s">
        <v>0</v>
      </c>
      <c r="D4" s="14"/>
      <c r="E4" s="14"/>
      <c r="F4" s="14"/>
      <c r="G4" s="14"/>
      <c r="H4" s="14"/>
      <c r="I4" s="14"/>
      <c r="J4" s="15"/>
    </row>
    <row r="5" spans="3:12" ht="13.2" x14ac:dyDescent="0.25">
      <c r="C5" s="16" t="s">
        <v>1</v>
      </c>
      <c r="D5" s="14"/>
      <c r="E5" s="15"/>
    </row>
    <row r="6" spans="3:12" ht="13.2" x14ac:dyDescent="0.25">
      <c r="C6" s="16" t="s">
        <v>2</v>
      </c>
      <c r="D6" s="14"/>
      <c r="E6" s="15"/>
    </row>
    <row r="7" spans="3:12" ht="13.2" x14ac:dyDescent="0.25">
      <c r="C7" s="16" t="s">
        <v>3</v>
      </c>
      <c r="D7" s="14"/>
      <c r="E7" s="15"/>
    </row>
    <row r="9" spans="3:12" ht="54.75" customHeight="1" x14ac:dyDescent="0.25"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11</v>
      </c>
      <c r="K9" s="2"/>
      <c r="L9" s="2"/>
    </row>
    <row r="10" spans="3:12" ht="13.2" x14ac:dyDescent="0.25">
      <c r="C10" s="17"/>
      <c r="D10" s="3" t="s">
        <v>12</v>
      </c>
      <c r="E10" s="3" t="s">
        <v>13</v>
      </c>
      <c r="F10" s="4" t="s">
        <v>14</v>
      </c>
      <c r="G10" s="4">
        <v>1</v>
      </c>
      <c r="H10" s="4">
        <v>2.37</v>
      </c>
      <c r="I10" s="4">
        <v>2.37</v>
      </c>
      <c r="J10" s="4" t="s">
        <v>15</v>
      </c>
      <c r="K10" s="2"/>
      <c r="L10" s="2"/>
    </row>
    <row r="11" spans="3:12" ht="13.2" x14ac:dyDescent="0.25">
      <c r="C11" s="18"/>
      <c r="D11" s="3" t="s">
        <v>16</v>
      </c>
      <c r="E11" s="3" t="s">
        <v>17</v>
      </c>
      <c r="F11" s="4" t="s">
        <v>18</v>
      </c>
      <c r="G11" s="4">
        <v>1</v>
      </c>
      <c r="H11" s="4">
        <v>92</v>
      </c>
      <c r="I11" s="4">
        <v>92</v>
      </c>
      <c r="J11" s="4" t="s">
        <v>15</v>
      </c>
      <c r="K11" s="2"/>
      <c r="L11" s="2"/>
    </row>
    <row r="12" spans="3:12" ht="26.4" x14ac:dyDescent="0.25">
      <c r="C12" s="19"/>
      <c r="D12" s="3" t="s">
        <v>19</v>
      </c>
      <c r="E12" s="5" t="s">
        <v>20</v>
      </c>
      <c r="F12" s="4" t="s">
        <v>21</v>
      </c>
      <c r="G12" s="4">
        <v>1</v>
      </c>
      <c r="H12" s="4">
        <v>500</v>
      </c>
      <c r="I12" s="4">
        <v>500</v>
      </c>
      <c r="J12" s="4" t="s">
        <v>15</v>
      </c>
      <c r="K12" s="2"/>
      <c r="L12" s="2"/>
    </row>
    <row r="16" spans="3:12" ht="56.25" customHeight="1" x14ac:dyDescent="0.25">
      <c r="C16" s="6" t="s">
        <v>22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10</v>
      </c>
      <c r="J16" s="1" t="s">
        <v>11</v>
      </c>
    </row>
    <row r="17" spans="3:10" ht="13.2" x14ac:dyDescent="0.25">
      <c r="C17" s="20"/>
      <c r="D17" s="3" t="s">
        <v>12</v>
      </c>
      <c r="E17" s="3" t="s">
        <v>13</v>
      </c>
      <c r="F17" s="4" t="s">
        <v>14</v>
      </c>
      <c r="G17" s="4">
        <v>1</v>
      </c>
      <c r="H17" s="4">
        <v>2.37</v>
      </c>
      <c r="I17" s="4">
        <v>2.37</v>
      </c>
      <c r="J17" s="4" t="s">
        <v>15</v>
      </c>
    </row>
    <row r="18" spans="3:10" ht="13.2" x14ac:dyDescent="0.25">
      <c r="C18" s="21"/>
      <c r="D18" s="3" t="s">
        <v>16</v>
      </c>
      <c r="E18" s="3" t="s">
        <v>17</v>
      </c>
      <c r="F18" s="4" t="s">
        <v>18</v>
      </c>
      <c r="G18" s="4">
        <v>1</v>
      </c>
      <c r="H18" s="4">
        <v>92</v>
      </c>
      <c r="I18" s="4">
        <v>92</v>
      </c>
      <c r="J18" s="4" t="s">
        <v>15</v>
      </c>
    </row>
    <row r="19" spans="3:10" ht="26.4" x14ac:dyDescent="0.25">
      <c r="C19" s="21"/>
      <c r="D19" s="3" t="s">
        <v>19</v>
      </c>
      <c r="E19" s="5" t="s">
        <v>20</v>
      </c>
      <c r="F19" s="4" t="s">
        <v>21</v>
      </c>
      <c r="G19" s="4">
        <v>1</v>
      </c>
      <c r="H19" s="4">
        <v>500</v>
      </c>
      <c r="I19" s="4">
        <v>500</v>
      </c>
      <c r="J19" s="4" t="s">
        <v>15</v>
      </c>
    </row>
    <row r="20" spans="3:10" ht="13.2" x14ac:dyDescent="0.25">
      <c r="C20" s="21"/>
      <c r="D20" s="22"/>
      <c r="E20" s="22"/>
      <c r="F20" s="22"/>
      <c r="G20" s="22"/>
      <c r="H20" s="7" t="s">
        <v>23</v>
      </c>
      <c r="I20" s="8">
        <f>SUM(I17:I19)</f>
        <v>594.37</v>
      </c>
      <c r="J20" s="8" t="s">
        <v>15</v>
      </c>
    </row>
    <row r="21" spans="3:10" ht="13.2" x14ac:dyDescent="0.25">
      <c r="C21" s="21"/>
      <c r="D21" s="22"/>
      <c r="E21" s="22"/>
      <c r="F21" s="22"/>
      <c r="G21" s="22"/>
      <c r="H21" s="7" t="s">
        <v>24</v>
      </c>
      <c r="I21" s="9">
        <v>0.25</v>
      </c>
      <c r="J21" s="8"/>
    </row>
    <row r="22" spans="3:10" ht="26.4" x14ac:dyDescent="0.25">
      <c r="C22" s="21"/>
      <c r="D22" s="22"/>
      <c r="E22" s="22"/>
      <c r="F22" s="22"/>
      <c r="G22" s="22"/>
      <c r="H22" s="10" t="s">
        <v>25</v>
      </c>
      <c r="I22" s="8">
        <f>I20*(1+I21)</f>
        <v>742.96249999999998</v>
      </c>
      <c r="J22" s="8" t="s">
        <v>15</v>
      </c>
    </row>
    <row r="23" spans="3:10" ht="13.2" x14ac:dyDescent="0.25">
      <c r="C23" s="21"/>
      <c r="D23" s="22"/>
      <c r="E23" s="22"/>
      <c r="F23" s="22"/>
      <c r="G23" s="22"/>
      <c r="H23" s="23"/>
      <c r="I23" s="22"/>
      <c r="J23" s="24"/>
    </row>
    <row r="24" spans="3:10" ht="13.2" x14ac:dyDescent="0.25">
      <c r="C24" s="5" t="s">
        <v>26</v>
      </c>
      <c r="D24" s="5" t="s">
        <v>27</v>
      </c>
      <c r="E24" s="5" t="s">
        <v>28</v>
      </c>
      <c r="F24" s="8" t="s">
        <v>29</v>
      </c>
      <c r="G24" s="8">
        <v>1</v>
      </c>
      <c r="H24" s="8">
        <v>1500</v>
      </c>
      <c r="I24" s="8">
        <v>1500</v>
      </c>
      <c r="J24" s="8" t="s">
        <v>15</v>
      </c>
    </row>
    <row r="25" spans="3:10" ht="13.2" x14ac:dyDescent="0.25">
      <c r="C25" s="5"/>
      <c r="D25" s="5"/>
      <c r="E25" s="5"/>
      <c r="F25" s="13" t="s">
        <v>30</v>
      </c>
      <c r="G25" s="14"/>
      <c r="H25" s="15"/>
      <c r="I25" s="8">
        <f>I24-I22</f>
        <v>757.03750000000002</v>
      </c>
      <c r="J25" s="8" t="s">
        <v>15</v>
      </c>
    </row>
    <row r="29" spans="3:10" ht="39.6" x14ac:dyDescent="0.25">
      <c r="C29" s="11" t="s">
        <v>31</v>
      </c>
      <c r="D29" s="11" t="s">
        <v>5</v>
      </c>
      <c r="E29" s="11" t="s">
        <v>6</v>
      </c>
      <c r="F29" s="11" t="s">
        <v>7</v>
      </c>
      <c r="G29" s="12" t="s">
        <v>32</v>
      </c>
      <c r="H29" s="11" t="s">
        <v>33</v>
      </c>
      <c r="I29" s="12" t="s">
        <v>10</v>
      </c>
      <c r="J29" s="12" t="s">
        <v>11</v>
      </c>
    </row>
    <row r="30" spans="3:10" ht="26.4" x14ac:dyDescent="0.25">
      <c r="C30" s="3" t="s">
        <v>34</v>
      </c>
      <c r="D30" s="3" t="s">
        <v>35</v>
      </c>
      <c r="E30" s="3" t="s">
        <v>36</v>
      </c>
      <c r="F30" s="5" t="s">
        <v>37</v>
      </c>
      <c r="G30" s="8">
        <v>12</v>
      </c>
      <c r="H30" s="8">
        <v>2500</v>
      </c>
      <c r="I30" s="8">
        <v>2500</v>
      </c>
      <c r="J30" s="8" t="s">
        <v>15</v>
      </c>
    </row>
    <row r="31" spans="3:10" ht="13.2" x14ac:dyDescent="0.25">
      <c r="C31" s="5"/>
      <c r="D31" s="25"/>
      <c r="E31" s="26"/>
      <c r="F31" s="26"/>
      <c r="G31" s="26"/>
      <c r="H31" s="26"/>
      <c r="I31" s="26"/>
      <c r="J31" s="27"/>
    </row>
    <row r="32" spans="3:10" ht="13.2" x14ac:dyDescent="0.25">
      <c r="C32" s="17" t="s">
        <v>38</v>
      </c>
      <c r="D32" s="28"/>
      <c r="E32" s="29"/>
      <c r="F32" s="29"/>
      <c r="G32" s="29"/>
      <c r="H32" s="29"/>
      <c r="I32" s="29"/>
      <c r="J32" s="30"/>
    </row>
    <row r="33" spans="3:10" ht="13.2" x14ac:dyDescent="0.25">
      <c r="C33" s="18"/>
      <c r="D33" s="5" t="s">
        <v>27</v>
      </c>
      <c r="E33" s="5" t="s">
        <v>28</v>
      </c>
      <c r="F33" s="5" t="s">
        <v>29</v>
      </c>
      <c r="G33" s="8" t="s">
        <v>39</v>
      </c>
      <c r="H33" s="8">
        <v>1500</v>
      </c>
      <c r="I33" s="8">
        <v>1500</v>
      </c>
      <c r="J33" s="8" t="s">
        <v>15</v>
      </c>
    </row>
    <row r="34" spans="3:10" ht="13.2" x14ac:dyDescent="0.25">
      <c r="C34" s="18"/>
      <c r="D34" s="16"/>
      <c r="E34" s="14"/>
      <c r="F34" s="14"/>
      <c r="G34" s="14"/>
      <c r="H34" s="14"/>
      <c r="I34" s="14"/>
      <c r="J34" s="15"/>
    </row>
    <row r="35" spans="3:10" ht="13.2" x14ac:dyDescent="0.25">
      <c r="C35" s="19"/>
      <c r="D35" s="5"/>
      <c r="E35" s="13" t="s">
        <v>40</v>
      </c>
      <c r="F35" s="14"/>
      <c r="G35" s="14"/>
      <c r="H35" s="15"/>
      <c r="I35" s="8">
        <f>I30-I33</f>
        <v>1000</v>
      </c>
      <c r="J35" s="8" t="s">
        <v>15</v>
      </c>
    </row>
  </sheetData>
  <mergeCells count="13">
    <mergeCell ref="C4:J4"/>
    <mergeCell ref="E35:H35"/>
    <mergeCell ref="D34:J34"/>
    <mergeCell ref="C10:C12"/>
    <mergeCell ref="C5:E5"/>
    <mergeCell ref="C6:E6"/>
    <mergeCell ref="C7:E7"/>
    <mergeCell ref="F25:H25"/>
    <mergeCell ref="C32:C35"/>
    <mergeCell ref="C17:C23"/>
    <mergeCell ref="D20:G23"/>
    <mergeCell ref="H23:J23"/>
    <mergeCell ref="D31:J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Elissa Silber</cp:lastModifiedBy>
  <dcterms:modified xsi:type="dcterms:W3CDTF">2026-10-29T19:32:04Z</dcterms:modified>
</cp:coreProperties>
</file>