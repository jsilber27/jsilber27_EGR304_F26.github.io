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<sst xmlns="http://schemas.openxmlformats.org/spreadsheetml/2006/main" count="78" uniqueCount="42">
  <si>
    <t>Power Budget</t>
  </si>
  <si>
    <r>
      <rPr>
        <rFont val="Arial"/>
        <color theme="1"/>
      </rPr>
      <t xml:space="preserve">Team Number: </t>
    </r>
    <r>
      <rPr>
        <rFont val="Arial"/>
        <b/>
        <color theme="1"/>
      </rPr>
      <t>205</t>
    </r>
  </si>
  <si>
    <r>
      <rPr>
        <rFont val="Arial"/>
        <color theme="1"/>
      </rPr>
      <t xml:space="preserve">Project Name: </t>
    </r>
    <r>
      <rPr>
        <rFont val="Arial"/>
        <b/>
        <color theme="1"/>
      </rPr>
      <t>BAMF</t>
    </r>
  </si>
  <si>
    <r>
      <rPr>
        <rFont val="Arial"/>
        <color theme="1"/>
      </rPr>
      <t xml:space="preserve">Team Member Name: </t>
    </r>
    <r>
      <rPr>
        <rFont val="Arial"/>
        <b/>
        <color theme="1"/>
      </rPr>
      <t>Jacob Silber</t>
    </r>
  </si>
  <si>
    <t>All Major Components</t>
  </si>
  <si>
    <t>Component Name</t>
  </si>
  <si>
    <t>Part Number</t>
  </si>
  <si>
    <t>Supply Voltage Range</t>
  </si>
  <si>
    <t>Qty</t>
  </si>
  <si>
    <t>Absolute Maximum Current</t>
  </si>
  <si>
    <t>Total Current</t>
  </si>
  <si>
    <t>Unit</t>
  </si>
  <si>
    <t>Photoresistor</t>
  </si>
  <si>
    <t>PDV-P8103</t>
  </si>
  <si>
    <t>0-150V</t>
  </si>
  <si>
    <t>mA</t>
  </si>
  <si>
    <t>Op Amp</t>
  </si>
  <si>
    <t>MCP6004-I/P</t>
  </si>
  <si>
    <t>1.8-6V</t>
  </si>
  <si>
    <t>Curiosity Nano</t>
  </si>
  <si>
    <t>PIC18F57Q43</t>
  </si>
  <si>
    <t>1.8-5.5V</t>
  </si>
  <si>
    <t>5V Power Rail</t>
  </si>
  <si>
    <t>Subtotal</t>
  </si>
  <si>
    <t>Safety Margin</t>
  </si>
  <si>
    <t>Total Current Required on 5V rail</t>
  </si>
  <si>
    <t>Regulator</t>
  </si>
  <si>
    <t>5V Regulator</t>
  </si>
  <si>
    <t>L7805ABV-DG</t>
  </si>
  <si>
    <t>0-35V</t>
  </si>
  <si>
    <t>Total Remaining Current on 5V rail</t>
  </si>
  <si>
    <t>External Power Source 1</t>
  </si>
  <si>
    <t>Output Voltage</t>
  </si>
  <si>
    <t>Absolute Current Maximum</t>
  </si>
  <si>
    <t>Power Source 1 Selection</t>
  </si>
  <si>
    <t>Plug-in Wall Supply</t>
  </si>
  <si>
    <t>YS39-2402500-D1J</t>
  </si>
  <si>
    <t>85-265VAC</t>
  </si>
  <si>
    <t>24V</t>
  </si>
  <si>
    <t>Power rails connected to External Power Source 1</t>
  </si>
  <si>
    <t>5V</t>
  </si>
  <si>
    <t>Total Remaining Current Available on External Power Source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</si>
</sst>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20.0"/>
      <color theme="1"/>
      <name val="Arial"/>
      <scheme val="minor"/>
    </font>
    <font/>
    <font>
      <color theme="1"/>
      <name val="Arial"/>
      <scheme val="minor"/>
    </font>
    <font>
      <b/>
      <i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readingOrder="0"/>
    </xf>
    <xf borderId="4" fillId="3" fontId="3" numFmtId="0" xfId="0" applyAlignment="1" applyBorder="1" applyFill="1" applyFont="1">
      <alignment readingOrder="0" shrinkToFit="0" vertical="center" wrapText="1"/>
    </xf>
    <xf borderId="0" fillId="0" fontId="3" numFmtId="0" xfId="0" applyAlignment="1" applyFont="1">
      <alignment shrinkToFit="0" wrapText="1"/>
    </xf>
    <xf borderId="5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horizontal="center" readingOrder="0" shrinkToFit="0" wrapText="1"/>
    </xf>
    <xf borderId="6" fillId="0" fontId="2" numFmtId="0" xfId="0" applyBorder="1" applyFont="1"/>
    <xf borderId="7" fillId="0" fontId="2" numFmtId="0" xfId="0" applyBorder="1" applyFont="1"/>
    <xf borderId="4" fillId="0" fontId="3" numFmtId="0" xfId="0" applyAlignment="1" applyBorder="1" applyFont="1">
      <alignment readingOrder="0"/>
    </xf>
    <xf borderId="4" fillId="3" fontId="3" numFmtId="0" xfId="0" applyAlignment="1" applyBorder="1" applyFill="1" applyFont="1">
      <alignment readingOrder="0" vertical="center"/>
    </xf>
    <xf borderId="8" fillId="0" fontId="3" numFmtId="0" xfId="0" applyBorder="1" applyFont="1"/>
    <xf borderId="8" fillId="0" fontId="2" numFmtId="0" xfId="0" applyBorder="1" applyFont="1"/>
    <xf borderId="4" fillId="0" fontId="4" numFmtId="0" xfId="0" applyAlignment="1" applyBorder="1" applyFont="1">
      <alignment horizontal="right" readingOrder="0"/>
    </xf>
    <xf borderId="4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 readingOrder="0"/>
    </xf>
    <xf borderId="4" fillId="0" fontId="3" numFmtId="9" xfId="0" applyAlignment="1" applyBorder="1" applyFont="1" applyNumberFormat="1">
      <alignment horizontal="center" readingOrder="0"/>
    </xf>
    <xf borderId="4" fillId="0" fontId="4" numFmtId="0" xfId="0" applyAlignment="1" applyBorder="1" applyFont="1">
      <alignment horizontal="right" readingOrder="0" shrinkToFit="0" wrapText="1"/>
    </xf>
    <xf borderId="0" fillId="0" fontId="3" numFmtId="0" xfId="0" applyFont="1"/>
    <xf borderId="9" fillId="0" fontId="2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horizontal="right" readingOrder="0"/>
    </xf>
    <xf borderId="4" fillId="3" fontId="3" numFmtId="0" xfId="0" applyAlignment="1" applyBorder="1" applyFill="1" applyFont="1">
      <alignment readingOrder="0" shrinkToFit="0" wrapText="1"/>
    </xf>
    <xf borderId="4" fillId="3" fontId="3" numFmtId="0" xfId="0" applyAlignment="1" applyBorder="1" applyFill="1" applyFont="1">
      <alignment readingOrder="0"/>
    </xf>
    <xf borderId="10" fillId="0" fontId="3" numFmtId="0" xfId="0" applyBorder="1" applyFont="1"/>
    <xf borderId="11" fillId="0" fontId="2" numFmtId="0" xfId="0" applyBorder="1" applyFont="1"/>
    <xf borderId="12" fillId="0" fontId="2" numFmtId="0" xfId="0" applyBorder="1" applyFont="1"/>
    <xf borderId="5" fillId="0" fontId="3" numFmtId="0" xfId="0" applyAlignment="1" applyBorder="1" applyFont="1">
      <alignment readingOrder="0" shrinkToFit="0" wrapText="1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9.13"/>
  </cols>
  <sheetData>
    <row r="4">
      <c r="C4" s="1" t="s">
        <v>0</v>
      </c>
      <c r="D4" s="2"/>
      <c r="E4" s="2"/>
      <c r="F4" s="2"/>
      <c r="G4" s="2"/>
      <c r="H4" s="2"/>
      <c r="I4" s="2"/>
      <c r="J4" s="3"/>
    </row>
    <row r="5">
      <c r="C5" s="4" t="s">
        <v>1</v>
      </c>
      <c r="D5" s="2"/>
      <c r="E5" s="3"/>
    </row>
    <row r="6">
      <c r="C6" s="4" t="s">
        <v>2</v>
      </c>
      <c r="D6" s="2"/>
      <c r="E6" s="3"/>
    </row>
    <row r="7">
      <c r="C7" s="4" t="s">
        <v>3</v>
      </c>
      <c r="D7" s="2"/>
      <c r="E7" s="3"/>
    </row>
    <row r="9" ht="54.75" customHeight="1">
      <c r="C9" s="5" t="s">
        <v>4</v>
      </c>
      <c r="D9" s="5" t="s">
        <v>5</v>
      </c>
      <c r="E9" s="5" t="s">
        <v>6</v>
      </c>
      <c r="F9" s="5" t="s">
        <v>7</v>
      </c>
      <c r="G9" s="5" t="s">
        <v>8</v>
      </c>
      <c r="H9" s="5" t="s">
        <v>9</v>
      </c>
      <c r="I9" s="5" t="s">
        <v>10</v>
      </c>
      <c r="J9" s="5" t="s">
        <v>11</v>
      </c>
      <c r="K9" s="6"/>
      <c r="L9" s="6"/>
    </row>
    <row r="10">
      <c r="C10" s="7"/>
      <c r="D10" s="8" t="s">
        <v>12</v>
      </c>
      <c r="E10" s="8" t="s">
        <v>13</v>
      </c>
      <c r="F10" s="9" t="s">
        <v>14</v>
      </c>
      <c r="G10" s="9">
        <v>1.0</v>
      </c>
      <c r="H10" s="9">
        <v>2.37</v>
      </c>
      <c r="I10" s="9">
        <v>2.37</v>
      </c>
      <c r="J10" s="9" t="s">
        <v>15</v>
      </c>
      <c r="K10" s="6"/>
      <c r="L10" s="6"/>
    </row>
    <row r="11">
      <c r="C11" s="10"/>
      <c r="D11" s="8" t="s">
        <v>16</v>
      </c>
      <c r="E11" s="8" t="s">
        <v>17</v>
      </c>
      <c r="F11" s="9" t="s">
        <v>18</v>
      </c>
      <c r="G11" s="9">
        <v>1.0</v>
      </c>
      <c r="H11" s="9">
        <v>92.0</v>
      </c>
      <c r="I11" s="9">
        <v>92.0</v>
      </c>
      <c r="J11" s="9" t="s">
        <v>15</v>
      </c>
      <c r="K11" s="6"/>
      <c r="L11" s="6"/>
    </row>
    <row r="12">
      <c r="C12" s="11"/>
      <c r="D12" s="8" t="s">
        <v>19</v>
      </c>
      <c r="E12" s="12" t="s">
        <v>20</v>
      </c>
      <c r="F12" s="9" t="s">
        <v>21</v>
      </c>
      <c r="G12" s="9">
        <v>1.0</v>
      </c>
      <c r="H12" s="9">
        <v>500.0</v>
      </c>
      <c r="I12" s="9">
        <v>500.0</v>
      </c>
      <c r="J12" s="9" t="s">
        <v>15</v>
      </c>
      <c r="K12" s="6"/>
      <c r="L12" s="6"/>
    </row>
    <row r="16" ht="56.25" customHeight="1">
      <c r="C16" s="13" t="s">
        <v>22</v>
      </c>
      <c r="D16" s="5" t="s">
        <v>5</v>
      </c>
      <c r="E16" s="5" t="s">
        <v>6</v>
      </c>
      <c r="F16" s="5" t="s">
        <v>7</v>
      </c>
      <c r="G16" s="5" t="s">
        <v>8</v>
      </c>
      <c r="H16" s="5" t="s">
        <v>9</v>
      </c>
      <c r="I16" s="5" t="s">
        <v>10</v>
      </c>
      <c r="J16" s="5" t="s">
        <v>11</v>
      </c>
    </row>
    <row r="17">
      <c r="C17" s="14"/>
      <c r="D17" s="8" t="s">
        <v>12</v>
      </c>
      <c r="E17" s="8" t="s">
        <v>13</v>
      </c>
      <c r="F17" s="9" t="s">
        <v>14</v>
      </c>
      <c r="G17" s="9">
        <v>1.0</v>
      </c>
      <c r="H17" s="9">
        <v>2.37</v>
      </c>
      <c r="I17" s="9">
        <v>2.37</v>
      </c>
      <c r="J17" s="9" t="s">
        <v>15</v>
      </c>
    </row>
    <row r="18">
      <c r="C18" s="15"/>
      <c r="D18" s="8" t="s">
        <v>16</v>
      </c>
      <c r="E18" s="8" t="s">
        <v>17</v>
      </c>
      <c r="F18" s="9" t="s">
        <v>18</v>
      </c>
      <c r="G18" s="9">
        <v>1.0</v>
      </c>
      <c r="H18" s="9">
        <v>92.0</v>
      </c>
      <c r="I18" s="9">
        <v>92.0</v>
      </c>
      <c r="J18" s="9" t="s">
        <v>15</v>
      </c>
    </row>
    <row r="19">
      <c r="C19" s="15"/>
      <c r="D19" s="8" t="s">
        <v>19</v>
      </c>
      <c r="E19" s="12" t="s">
        <v>20</v>
      </c>
      <c r="F19" s="9" t="s">
        <v>21</v>
      </c>
      <c r="G19" s="9">
        <v>1.0</v>
      </c>
      <c r="H19" s="9">
        <v>500.0</v>
      </c>
      <c r="I19" s="9">
        <v>500.0</v>
      </c>
      <c r="J19" s="9" t="s">
        <v>15</v>
      </c>
    </row>
    <row r="20">
      <c r="C20" s="15"/>
      <c r="H20" s="16" t="s">
        <v>23</v>
      </c>
      <c r="I20" s="17">
        <f>SUM(I17:I19)</f>
        <v>594.37</v>
      </c>
      <c r="J20" s="18" t="s">
        <v>15</v>
      </c>
    </row>
    <row r="21">
      <c r="C21" s="15"/>
      <c r="H21" s="16" t="s">
        <v>24</v>
      </c>
      <c r="I21" s="19">
        <v>0.25</v>
      </c>
      <c r="J21" s="17"/>
    </row>
    <row r="22">
      <c r="C22" s="15"/>
      <c r="H22" s="20" t="s">
        <v>25</v>
      </c>
      <c r="I22" s="17">
        <f>I20*(1+I21)</f>
        <v>742.9625</v>
      </c>
      <c r="J22" s="18" t="s">
        <v>15</v>
      </c>
    </row>
    <row r="23">
      <c r="C23" s="15"/>
      <c r="H23" s="21"/>
      <c r="J23" s="22"/>
    </row>
    <row r="24">
      <c r="C24" s="12" t="s">
        <v>26</v>
      </c>
      <c r="D24" s="12" t="s">
        <v>27</v>
      </c>
      <c r="E24" s="12" t="s">
        <v>28</v>
      </c>
      <c r="F24" s="18" t="s">
        <v>29</v>
      </c>
      <c r="G24" s="18">
        <v>1.0</v>
      </c>
      <c r="H24" s="18">
        <v>1500.0</v>
      </c>
      <c r="I24" s="18">
        <v>1500.0</v>
      </c>
      <c r="J24" s="18" t="s">
        <v>15</v>
      </c>
    </row>
    <row r="25">
      <c r="C25" s="23"/>
      <c r="D25" s="23"/>
      <c r="E25" s="23"/>
      <c r="F25" s="24" t="s">
        <v>30</v>
      </c>
      <c r="G25" s="2"/>
      <c r="H25" s="3"/>
      <c r="I25" s="17">
        <f>I24-I22</f>
        <v>757.0375</v>
      </c>
      <c r="J25" s="18" t="s">
        <v>15</v>
      </c>
    </row>
    <row r="29">
      <c r="C29" s="25" t="s">
        <v>31</v>
      </c>
      <c r="D29" s="25" t="s">
        <v>5</v>
      </c>
      <c r="E29" s="25" t="s">
        <v>6</v>
      </c>
      <c r="F29" s="25" t="s">
        <v>7</v>
      </c>
      <c r="G29" s="26" t="s">
        <v>32</v>
      </c>
      <c r="H29" s="25" t="s">
        <v>33</v>
      </c>
      <c r="I29" s="26" t="s">
        <v>10</v>
      </c>
      <c r="J29" s="26" t="s">
        <v>11</v>
      </c>
    </row>
    <row r="30">
      <c r="C30" s="8" t="s">
        <v>34</v>
      </c>
      <c r="D30" s="8" t="s">
        <v>35</v>
      </c>
      <c r="E30" s="8" t="s">
        <v>36</v>
      </c>
      <c r="F30" s="12" t="s">
        <v>37</v>
      </c>
      <c r="G30" s="18" t="s">
        <v>38</v>
      </c>
      <c r="H30" s="18">
        <v>2500.0</v>
      </c>
      <c r="I30" s="18">
        <v>2500.0</v>
      </c>
      <c r="J30" s="18" t="s">
        <v>15</v>
      </c>
    </row>
    <row r="31">
      <c r="C31" s="23"/>
      <c r="D31" s="27"/>
      <c r="E31" s="28"/>
      <c r="F31" s="28"/>
      <c r="G31" s="28"/>
      <c r="H31" s="28"/>
      <c r="I31" s="28"/>
      <c r="J31" s="29"/>
    </row>
    <row r="32">
      <c r="C32" s="30" t="s">
        <v>39</v>
      </c>
      <c r="D32" s="31"/>
      <c r="E32" s="32"/>
      <c r="F32" s="32"/>
      <c r="G32" s="32"/>
      <c r="H32" s="32"/>
      <c r="I32" s="32"/>
      <c r="J32" s="33"/>
    </row>
    <row r="33">
      <c r="C33" s="10"/>
      <c r="D33" s="12" t="s">
        <v>27</v>
      </c>
      <c r="E33" s="12" t="s">
        <v>28</v>
      </c>
      <c r="F33" s="12" t="s">
        <v>29</v>
      </c>
      <c r="G33" s="18" t="s">
        <v>40</v>
      </c>
      <c r="H33" s="18">
        <v>1500.0</v>
      </c>
      <c r="I33" s="18">
        <v>1500.0</v>
      </c>
      <c r="J33" s="18" t="s">
        <v>15</v>
      </c>
    </row>
    <row r="34">
      <c r="C34" s="10"/>
      <c r="D34" s="34"/>
      <c r="E34" s="2"/>
      <c r="F34" s="2"/>
      <c r="G34" s="2"/>
      <c r="H34" s="2"/>
      <c r="I34" s="2"/>
      <c r="J34" s="3"/>
    </row>
    <row r="35">
      <c r="C35" s="11"/>
      <c r="D35" s="23"/>
      <c r="E35" s="24" t="s">
        <v>41</v>
      </c>
      <c r="F35" s="2"/>
      <c r="G35" s="2"/>
      <c r="H35" s="3"/>
      <c r="I35" s="17">
        <f>I30-I33</f>
        <v>1000</v>
      </c>
      <c r="J35" s="18" t="s">
        <v>15</v>
      </c>
    </row>
  </sheetData>
  <mergeCells count="13">
    <mergeCell ref="E35:H35"/>
    <mergeCell ref="D34:J34"/>
    <mergeCell ref="C10:C12"/>
    <mergeCell ref="C5:E5"/>
    <mergeCell ref="C6:E6"/>
    <mergeCell ref="C7:E7"/>
    <mergeCell ref="F25:H25"/>
    <mergeCell ref="C32:C35"/>
    <mergeCell ref="C17:C23"/>
    <mergeCell ref="D20:G23"/>
    <mergeCell ref="H23:J23"/>
    <mergeCell ref="D31:J32"/>
    <mergeCell ref="C4:J4"/>
  </mergeCells>
  <drawing r:id="rId1"/>
</worksheet>
</file>